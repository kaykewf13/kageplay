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Animes" sheetId="1" state="visible" r:id="rId3"/>
    <sheet name="02_Episodios" sheetId="2" state="visible" r:id="rId4"/>
    <sheet name="03_Categorias" sheetId="3" state="visible" r:id="rId5"/>
    <sheet name="04_Fontes" sheetId="4" state="visible" r:id="rId6"/>
    <sheet name="05_Regras" sheetId="5" state="visible" r:id="rId7"/>
    <sheet name="06_Validacoes" sheetId="6" state="visible" r:id="rId8"/>
    <sheet name="07_Resumo" sheetId="7" state="visible" r:id="rId9"/>
    <sheet name="READM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<sst xmlns="http://schemas.openxmlformats.org/spreadsheetml/2006/main" count="377" uniqueCount="213">
  <si>
    <t xml:space="preserve">anime_id</t>
  </si>
  <si>
    <t xml:space="preserve">titulo</t>
  </si>
  <si>
    <t xml:space="preserve">slug</t>
  </si>
  <si>
    <t xml:space="preserve">categoria_principal</t>
  </si>
  <si>
    <t xml:space="preserve">categorias_secundarias</t>
  </si>
  <si>
    <t xml:space="preserve">adulto_18</t>
  </si>
  <si>
    <t xml:space="preserve">status</t>
  </si>
  <si>
    <t xml:space="preserve">publicar</t>
  </si>
  <si>
    <t xml:space="preserve">descricao</t>
  </si>
  <si>
    <t xml:space="preserve">capa_url</t>
  </si>
  <si>
    <t xml:space="preserve">banner_url</t>
  </si>
  <si>
    <t xml:space="preserve">fonte_principal</t>
  </si>
  <si>
    <t xml:space="preserve">anime-demo-01</t>
  </si>
  <si>
    <t xml:space="preserve">Demo: Big Buck Bunny</t>
  </si>
  <si>
    <t xml:space="preserve">demo-big-buck-bunny</t>
  </si>
  <si>
    <t xml:space="preserve">Aventura</t>
  </si>
  <si>
    <t xml:space="preserve">Comedia, Slice of Life</t>
  </si>
  <si>
    <t xml:space="preserve">Nao</t>
  </si>
  <si>
    <t xml:space="preserve">Completo</t>
  </si>
  <si>
    <t xml:space="preserve">Sim</t>
  </si>
  <si>
    <t xml:space="preserve">Curta de animacao em dominio publico (Blender).</t>
  </si>
  <si>
    <t xml:space="preserve">https://upload.wikimedia.org/wikipedia/commons/thumb/c/c5/Big_buck_bunny_poster_big.jpg/480px-Big_buck_bunny_poster_big.jpg</t>
  </si>
  <si>
    <t xml:space="preserve">Internet Archive</t>
  </si>
  <si>
    <t xml:space="preserve">anime-demo-02</t>
  </si>
  <si>
    <t xml:space="preserve">Demo: Sintel</t>
  </si>
  <si>
    <t xml:space="preserve">demo-sintel</t>
  </si>
  <si>
    <t xml:space="preserve">Fantasia</t>
  </si>
  <si>
    <t xml:space="preserve">Aventura, Drama</t>
  </si>
  <si>
    <t xml:space="preserve">Curta de fantasia em dominio publico (Blender).</t>
  </si>
  <si>
    <t xml:space="preserve">https://upload.wikimedia.org/wikipedia/commons/thumb/6/68/Sintel_poster.jpg/480px-Sintel_poster.jpg</t>
  </si>
  <si>
    <t xml:space="preserve">anime-demo-03</t>
  </si>
  <si>
    <t xml:space="preserve">Demo: Tears of Steel</t>
  </si>
  <si>
    <t xml:space="preserve">demo-tears-of-steel</t>
  </si>
  <si>
    <t xml:space="preserve">Sci-Fi</t>
  </si>
  <si>
    <t xml:space="preserve">Acao</t>
  </si>
  <si>
    <t xml:space="preserve">Curta sci-fi em dominio publico (Blender). Teste HLS.</t>
  </si>
  <si>
    <t xml:space="preserve">https://upload.wikimedia.org/wikipedia/commons/thumb/4/4d/Tos-poster.png/480px-Tos-poster.png</t>
  </si>
  <si>
    <t xml:space="preserve">Fonte Autorizada</t>
  </si>
  <si>
    <t xml:space="preserve">anime-demo-04</t>
  </si>
  <si>
    <t xml:space="preserve">Demo: Embed YouTube Oficial</t>
  </si>
  <si>
    <t xml:space="preserve">demo-embed-youtube</t>
  </si>
  <si>
    <t xml:space="preserve">Comedia</t>
  </si>
  <si>
    <t xml:space="preserve">Slice of Life</t>
  </si>
  <si>
    <t xml:space="preserve">Em lancamento</t>
  </si>
  <si>
    <t xml:space="preserve">Fonte de canal oficial no YouTube com embed liberado.</t>
  </si>
  <si>
    <t xml:space="preserve">https://placehold.co/480x720/1a1a2e/ffd700?text=YouTube</t>
  </si>
  <si>
    <t xml:space="preserve">YouTube Oficial</t>
  </si>
  <si>
    <t xml:space="preserve">anime-demo-05</t>
  </si>
  <si>
    <t xml:space="preserve">Demo: Fonte Externa Bloqueada</t>
  </si>
  <si>
    <t xml:space="preserve">demo-fonte-externa</t>
  </si>
  <si>
    <t xml:space="preserve">Drama</t>
  </si>
  <si>
    <t xml:space="preserve">Em revisao</t>
  </si>
  <si>
    <t xml:space="preserve">Fonte sem player interno: abre apenas fonte oficial.</t>
  </si>
  <si>
    <t xml:space="preserve">https://placehold.co/480x720/2e1a1a/ff6b6b?text=Externa</t>
  </si>
  <si>
    <t xml:space="preserve">episodio_num</t>
  </si>
  <si>
    <t xml:space="preserve">titulo_episodio</t>
  </si>
  <si>
    <t xml:space="preserve">url_video</t>
  </si>
  <si>
    <t xml:space="preserve">tipo_player</t>
  </si>
  <si>
    <t xml:space="preserve">gratuito_autorizado</t>
  </si>
  <si>
    <t xml:space="preserve">drm_paywall</t>
  </si>
  <si>
    <t xml:space="preserve">status_link</t>
  </si>
  <si>
    <t xml:space="preserve">elegivel_player</t>
  </si>
  <si>
    <t xml:space="preserve">bloqueio_planilha_link</t>
  </si>
  <si>
    <t xml:space="preserve">motivo_bloqueio_planilha</t>
  </si>
  <si>
    <t xml:space="preserve">url_player</t>
  </si>
  <si>
    <t xml:space="preserve">Filme completo</t>
  </si>
  <si>
    <t xml:space="preserve">https://archive.org/download/BigBuckBunny_124/Content/big_buck_bunny_720p_surround.mp4</t>
  </si>
  <si>
    <t xml:space="preserve">mp4</t>
  </si>
  <si>
    <t xml:space="preserve">Ativo</t>
  </si>
  <si>
    <t xml:space="preserve">https://archive.org/download/Sintel/sintel-2048-surround.mp4</t>
  </si>
  <si>
    <t xml:space="preserve">Filme completo (HLS)</t>
  </si>
  <si>
    <t xml:space="preserve">https://test-streams.mux.dev/x36xhzz/x36xhzz.m3u8</t>
  </si>
  <si>
    <t xml:space="preserve">hls</t>
  </si>
  <si>
    <t xml:space="preserve">Trailer oficial (embed)</t>
  </si>
  <si>
    <t xml:space="preserve">https://www.youtube.com/embed/aqz-KE-bpKQ</t>
  </si>
  <si>
    <t xml:space="preserve">youtube</t>
  </si>
  <si>
    <t xml:space="preserve">Assistir na fonte oficial</t>
  </si>
  <si>
    <t xml:space="preserve">https://archive.org/details/BigBuckBunny_124</t>
  </si>
  <si>
    <t xml:space="preserve">externo</t>
  </si>
  <si>
    <t xml:space="preserve">Revisar</t>
  </si>
  <si>
    <t xml:space="preserve">grupo</t>
  </si>
  <si>
    <t xml:space="preserve">categoria</t>
  </si>
  <si>
    <t xml:space="preserve">url_sugerida</t>
  </si>
  <si>
    <t xml:space="preserve">mostrar_menu</t>
  </si>
  <si>
    <t xml:space="preserve">template_canva</t>
  </si>
  <si>
    <t xml:space="preserve">observacao</t>
  </si>
  <si>
    <t xml:space="preserve">Genero</t>
  </si>
  <si>
    <t xml:space="preserve">acao</t>
  </si>
  <si>
    <t xml:space="preserve">/acao</t>
  </si>
  <si>
    <t xml:space="preserve">categoria_padrao</t>
  </si>
  <si>
    <t xml:space="preserve">aventura</t>
  </si>
  <si>
    <t xml:space="preserve">/aventura</t>
  </si>
  <si>
    <t xml:space="preserve">fantasia</t>
  </si>
  <si>
    <t xml:space="preserve">/fantasia</t>
  </si>
  <si>
    <t xml:space="preserve">drama</t>
  </si>
  <si>
    <t xml:space="preserve">/drama</t>
  </si>
  <si>
    <t xml:space="preserve">comedia</t>
  </si>
  <si>
    <t xml:space="preserve">/comedia</t>
  </si>
  <si>
    <t xml:space="preserve">sci-fi</t>
  </si>
  <si>
    <t xml:space="preserve">/sci-fi</t>
  </si>
  <si>
    <t xml:space="preserve">Sobrenatural</t>
  </si>
  <si>
    <t xml:space="preserve">sobrenatural</t>
  </si>
  <si>
    <t xml:space="preserve">/sobrenatural</t>
  </si>
  <si>
    <t xml:space="preserve">slice-of-life</t>
  </si>
  <si>
    <t xml:space="preserve">/slice-of-life</t>
  </si>
  <si>
    <t xml:space="preserve">Subgenero</t>
  </si>
  <si>
    <t xml:space="preserve">Shounen</t>
  </si>
  <si>
    <t xml:space="preserve">shounen</t>
  </si>
  <si>
    <t xml:space="preserve">/shounen</t>
  </si>
  <si>
    <t xml:space="preserve">Isekai</t>
  </si>
  <si>
    <t xml:space="preserve">isekai</t>
  </si>
  <si>
    <t xml:space="preserve">/isekai</t>
  </si>
  <si>
    <t xml:space="preserve">Formato</t>
  </si>
  <si>
    <t xml:space="preserve">Filmes</t>
  </si>
  <si>
    <t xml:space="preserve">filmes</t>
  </si>
  <si>
    <t xml:space="preserve">/filmes</t>
  </si>
  <si>
    <t xml:space="preserve">categoria_filmes</t>
  </si>
  <si>
    <t xml:space="preserve">Idioma</t>
  </si>
  <si>
    <t xml:space="preserve">Dublados</t>
  </si>
  <si>
    <t xml:space="preserve">dublados</t>
  </si>
  <si>
    <t xml:space="preserve">/dublados</t>
  </si>
  <si>
    <t xml:space="preserve">Legendados</t>
  </si>
  <si>
    <t xml:space="preserve">legendados</t>
  </si>
  <si>
    <t xml:space="preserve">/legendados</t>
  </si>
  <si>
    <t xml:space="preserve">Fonte</t>
  </si>
  <si>
    <t xml:space="preserve">arquivo-publico</t>
  </si>
  <si>
    <t xml:space="preserve">/arquivo-publico</t>
  </si>
  <si>
    <t xml:space="preserve">categoria_fontes</t>
  </si>
  <si>
    <t xml:space="preserve">Adulto 18+</t>
  </si>
  <si>
    <t xml:space="preserve">adulto-18</t>
  </si>
  <si>
    <t xml:space="preserve">/adulto-18</t>
  </si>
  <si>
    <t xml:space="preserve">categoria_18</t>
  </si>
  <si>
    <t xml:space="preserve">Fora do menu principal</t>
  </si>
  <si>
    <t xml:space="preserve">Ecchi 18+</t>
  </si>
  <si>
    <t xml:space="preserve">ecchi-18</t>
  </si>
  <si>
    <t xml:space="preserve">/ecchi-18</t>
  </si>
  <si>
    <t xml:space="preserve">Romance Adulto 18+</t>
  </si>
  <si>
    <t xml:space="preserve">romance-adulto-18</t>
  </si>
  <si>
    <t xml:space="preserve">/romance-adulto-18</t>
  </si>
  <si>
    <t xml:space="preserve">fonte</t>
  </si>
  <si>
    <t xml:space="preserve">tipo_fonte</t>
  </si>
  <si>
    <t xml:space="preserve">embed_liberado</t>
  </si>
  <si>
    <t xml:space="preserve">permite_player_interno</t>
  </si>
  <si>
    <t xml:space="preserve">arquivo</t>
  </si>
  <si>
    <t xml:space="preserve">Conteudo publico/incorporavel.</t>
  </si>
  <si>
    <t xml:space="preserve">embed</t>
  </si>
  <si>
    <t xml:space="preserve">Depende</t>
  </si>
  <si>
    <t xml:space="preserve">Apenas videos publicos com embed liberado.</t>
  </si>
  <si>
    <t xml:space="preserve">Vimeo</t>
  </si>
  <si>
    <t xml:space="preserve">Dono precisa permitir incorporacao.</t>
  </si>
  <si>
    <t xml:space="preserve">Arquivo Pessoal</t>
  </si>
  <si>
    <t xml:space="preserve">Links MP4/WEBM/HLS que voce controla.</t>
  </si>
  <si>
    <t xml:space="preserve">Abrir fonte oficial se iframe bloqueado.</t>
  </si>
  <si>
    <t xml:space="preserve">05_REGRAS — manual interno da planilha</t>
  </si>
  <si>
    <t xml:space="preserve">1.</t>
  </si>
  <si>
    <t xml:space="preserve">Conteudo so roda no player se gratuito_autorizado = Sim.</t>
  </si>
  <si>
    <t xml:space="preserve">2.</t>
  </si>
  <si>
    <t xml:space="preserve">Conteudo com DRM ou paywall (drm_paywall = Sim) NAO roda.</t>
  </si>
  <si>
    <t xml:space="preserve">3.</t>
  </si>
  <si>
    <t xml:space="preserve">publicar = Sim e obrigatorio para aparecer no catalogo e tocar.</t>
  </si>
  <si>
    <t xml:space="preserve">4.</t>
  </si>
  <si>
    <t xml:space="preserve">elegivel_player = Sim quando: gratuito_autorizado=Sim E drm_paywall=Nao E publicar=Sim.</t>
  </si>
  <si>
    <t xml:space="preserve">5.</t>
  </si>
  <si>
    <t xml:space="preserve">Link inativo/pendente/revisar = bloqueio SOMENTE na planilha (alerta operacional).</t>
  </si>
  <si>
    <t xml:space="preserve">6.</t>
  </si>
  <si>
    <t xml:space="preserve">status_link NAO e a trava principal do player.</t>
  </si>
  <si>
    <t xml:space="preserve">7.</t>
  </si>
  <si>
    <t xml:space="preserve">Conteudo 18+ fica separado e exige confirmacao de idade.</t>
  </si>
  <si>
    <t xml:space="preserve">8.</t>
  </si>
  <si>
    <t xml:space="preserve">Conteudo adulto NAO aparece no menu principal (mostrar_menu = Nao).</t>
  </si>
  <si>
    <t xml:space="preserve">9.</t>
  </si>
  <si>
    <t xml:space="preserve">Player interno e prioridade; embed externo so quando oficialmente liberado.</t>
  </si>
  <si>
    <t xml:space="preserve">10.</t>
  </si>
  <si>
    <t xml:space="preserve">Nunca: burlar DRM, remover paywall, forcar iframe, usar fonte pirata.</t>
  </si>
  <si>
    <t xml:space="preserve">sim_nao</t>
  </si>
  <si>
    <t xml:space="preserve">status_obra</t>
  </si>
  <si>
    <t xml:space="preserve">webm</t>
  </si>
  <si>
    <t xml:space="preserve">Inativo</t>
  </si>
  <si>
    <t xml:space="preserve">Pausado</t>
  </si>
  <si>
    <t xml:space="preserve">Pendente</t>
  </si>
  <si>
    <t xml:space="preserve">Finalizado</t>
  </si>
  <si>
    <t xml:space="preserve">plataforma</t>
  </si>
  <si>
    <t xml:space="preserve">vimeo</t>
  </si>
  <si>
    <t xml:space="preserve">archive</t>
  </si>
  <si>
    <t xml:space="preserve">KagePlay — Painel de Controle</t>
  </si>
  <si>
    <t xml:space="preserve">Indicadores calculados a partir das abas 01 e 02</t>
  </si>
  <si>
    <t xml:space="preserve">Indicador</t>
  </si>
  <si>
    <t xml:space="preserve">Valor</t>
  </si>
  <si>
    <t xml:space="preserve">Total de animes cadastrados</t>
  </si>
  <si>
    <t xml:space="preserve">Total de animes publicados</t>
  </si>
  <si>
    <t xml:space="preserve">Total de animes NAO publicados</t>
  </si>
  <si>
    <t xml:space="preserve">Total de conteudos adultos (18+)</t>
  </si>
  <si>
    <t xml:space="preserve">Total de episodios cadastrados</t>
  </si>
  <si>
    <t xml:space="preserve">Episodios elegiveis para player</t>
  </si>
  <si>
    <t xml:space="preserve">Episodios bloqueados por regra tecnica</t>
  </si>
  <si>
    <t xml:space="preserve">Links inativos - bloqueio planilha</t>
  </si>
  <si>
    <t xml:space="preserve">KagePlay — Planilha-Mestre v2 (o cerebro do projeto)</t>
  </si>
  <si>
    <t xml:space="preserve">Esta planilha controla TODO o catalogo do KagePlay.</t>
  </si>
  <si>
    <t xml:space="preserve">Fluxo: preencher -&gt; rodar scripts/build.py -&gt; gerar JSON/M3U -&gt; publicar.</t>
  </si>
  <si>
    <t xml:space="preserve">ABAS:</t>
  </si>
  <si>
    <t xml:space="preserve">  01_Animes      cadastro de cada obra (anime_id unico, sem espaco).</t>
  </si>
  <si>
    <t xml:space="preserve">  02_Episodios   cada episodio/video. Colunas amarelas sao CALCULADAS (nao editar).</t>
  </si>
  <si>
    <t xml:space="preserve">  03_Categorias  categorias e quais aparecem no menu.</t>
  </si>
  <si>
    <t xml:space="preserve">  04_Fontes      quais fontes permitem player interno.</t>
  </si>
  <si>
    <t xml:space="preserve">  05_Regras      manual das regras.</t>
  </si>
  <si>
    <t xml:space="preserve">  06_Validacoes  listas dos menus suspensos.</t>
  </si>
  <si>
    <t xml:space="preserve">  07_Resumo      painel de indicadores.</t>
  </si>
  <si>
    <t xml:space="preserve">REGRA DE OURO DO PLAYER (elegivel_player = Sim):</t>
  </si>
  <si>
    <t xml:space="preserve">  gratuito_autorizado = Sim  E  drm_paywall = Nao  E  publicar = Sim</t>
  </si>
  <si>
    <t xml:space="preserve">LINK INATIVO: gera apenas alerta na planilha (bloqueio_planilha_link), NAO trava o player.</t>
  </si>
  <si>
    <t xml:space="preserve">COMO GERAR OS ARQUIVOS DO SITE:</t>
  </si>
  <si>
    <t xml:space="preserve">  pip install openpyxl</t>
  </si>
  <si>
    <t xml:space="preserve">  python scripts/build.py --xlsx kageplay_planilha_mestre_v2.xlsx --out data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</si>
</sst>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D1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E8A838"/>
      <name val="Arial"/>
      <family val="0"/>
      <charset val="1"/>
    </font>
    <font>
      <b val="true"/>
      <sz val="16"/>
      <color rgb="FF1A1A2E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6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E8A838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42"/>
    <col collapsed="false" customWidth="true" hidden="false" outlineLevel="0" max="10" min="10" style="0" width="40"/>
    <col collapsed="false" customWidth="true" hidden="false" outlineLevel="0" max="11" min="11" style="0" width="30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</row>
    <row r="3" customFormat="false" ht="35.0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17</v>
      </c>
      <c r="G3" s="2" t="s">
        <v>18</v>
      </c>
      <c r="H3" s="2" t="s">
        <v>19</v>
      </c>
      <c r="I3" s="2" t="s">
        <v>28</v>
      </c>
      <c r="J3" s="2" t="s">
        <v>29</v>
      </c>
      <c r="K3" s="2"/>
      <c r="L3" s="2" t="s">
        <v>22</v>
      </c>
    </row>
    <row r="4" customFormat="false" ht="35.0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17</v>
      </c>
      <c r="G4" s="2" t="s">
        <v>18</v>
      </c>
      <c r="H4" s="2" t="s">
        <v>19</v>
      </c>
      <c r="I4" s="2" t="s">
        <v>35</v>
      </c>
      <c r="J4" s="2" t="s">
        <v>36</v>
      </c>
      <c r="K4" s="2"/>
      <c r="L4" s="2" t="s">
        <v>37</v>
      </c>
    </row>
    <row r="5" customFormat="false" ht="23.85" hidden="false" customHeight="false" outlineLevel="0" collapsed="false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17</v>
      </c>
      <c r="G5" s="2" t="s">
        <v>43</v>
      </c>
      <c r="H5" s="2" t="s">
        <v>19</v>
      </c>
      <c r="I5" s="2" t="s">
        <v>44</v>
      </c>
      <c r="J5" s="2" t="s">
        <v>45</v>
      </c>
      <c r="K5" s="2"/>
      <c r="L5" s="2" t="s">
        <v>46</v>
      </c>
    </row>
    <row r="6" customFormat="false" ht="23.85" hidden="false" customHeight="false" outlineLevel="0" collapsed="false">
      <c r="A6" s="2" t="s">
        <v>47</v>
      </c>
      <c r="B6" s="2" t="s">
        <v>48</v>
      </c>
      <c r="C6" s="2" t="s">
        <v>49</v>
      </c>
      <c r="D6" s="2" t="s">
        <v>50</v>
      </c>
      <c r="E6" s="2"/>
      <c r="F6" s="2" t="s">
        <v>17</v>
      </c>
      <c r="G6" s="2" t="s">
        <v>51</v>
      </c>
      <c r="H6" s="2" t="s">
        <v>19</v>
      </c>
      <c r="I6" s="2" t="s">
        <v>52</v>
      </c>
      <c r="J6" s="2" t="s">
        <v>53</v>
      </c>
      <c r="K6" s="2"/>
      <c r="L6" s="2" t="s">
        <v>37</v>
      </c>
    </row>
  </sheetData>
  <dataValidations count="3">
    <dataValidation allowBlank="true" errorStyle="stop" operator="between" showDropDown="false" showErrorMessage="false" showInputMessage="false" sqref="F2:F55" type="list">
      <formula1>06_Validacoes!$A$2:$A$3</formula1>
      <formula2>0</formula2>
    </dataValidation>
    <dataValidation allowBlank="true" errorStyle="stop" operator="between" showDropDown="false" showErrorMessage="false" showInputMessage="false" sqref="H2:H55" type="list">
      <formula1>06_Validacoes!$A$2:$A$3</formula1>
      <formula2>0</formula2>
    </dataValidation>
    <dataValidation allowBlank="true" errorStyle="stop" operator="between" showDropDown="false" showErrorMessage="false" showInputMessage="false" sqref="G2:G55" type="list">
      <formula1>06_Validacoes!$B$2:$B$6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4" min="13" style="0" width="40"/>
  </cols>
  <sheetData>
    <row r="1" customFormat="false" ht="15" hidden="false" customHeight="false" outlineLevel="0" collapsed="false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7</v>
      </c>
      <c r="I1" s="1" t="s">
        <v>60</v>
      </c>
      <c r="J1" s="1" t="s">
        <v>5</v>
      </c>
      <c r="K1" s="3" t="s">
        <v>61</v>
      </c>
      <c r="L1" s="3" t="s">
        <v>62</v>
      </c>
      <c r="M1" s="3" t="s">
        <v>63</v>
      </c>
      <c r="N1" s="3" t="s">
        <v>64</v>
      </c>
    </row>
    <row r="2" customFormat="false" ht="23.85" hidden="false" customHeight="false" outlineLevel="0" collapsed="false">
      <c r="A2" s="2" t="s">
        <v>12</v>
      </c>
      <c r="B2" s="2" t="n">
        <v>1</v>
      </c>
      <c r="C2" s="2" t="s">
        <v>65</v>
      </c>
      <c r="D2" s="2" t="s">
        <v>66</v>
      </c>
      <c r="E2" s="2" t="s">
        <v>67</v>
      </c>
      <c r="F2" s="2" t="s">
        <v>19</v>
      </c>
      <c r="G2" s="2" t="s">
        <v>17</v>
      </c>
      <c r="H2" s="2" t="s">
        <v>19</v>
      </c>
      <c r="I2" s="2" t="s">
        <v>68</v>
      </c>
      <c r="J2" s="2" t="s">
        <v>17</v>
      </c>
      <c r="K2" s="4" t="str">
        <f aca="false">IF(AND(F2="Sim",G2="Nao",H2="Sim"),"Sim","Nao")</f>
        <v>Sim</v>
      </c>
      <c r="L2" s="4" t="str">
        <f aca="false">IF(I2&lt;&gt;"Ativo","Sim","Nao")</f>
        <v>Nao</v>
      </c>
      <c r="M2" s="4" t="str">
        <f aca="false">IF(I2&lt;&gt;"Ativo","Link "&amp;I2&amp;". Corrigir na planilha antes de publicar.","")</f>
        <v/>
      </c>
      <c r="N2" s="4" t="str">
        <f aca="false">"/player.html?anime="&amp;A2&amp;"&amp;ep="&amp;B2</f>
        <v>/player.html?anime=anime-demo-01&amp;ep=1</v>
      </c>
    </row>
    <row r="3" customFormat="false" ht="15" hidden="false" customHeight="false" outlineLevel="0" collapsed="false">
      <c r="A3" s="2" t="s">
        <v>23</v>
      </c>
      <c r="B3" s="2" t="n">
        <v>1</v>
      </c>
      <c r="C3" s="2" t="s">
        <v>65</v>
      </c>
      <c r="D3" s="2" t="s">
        <v>69</v>
      </c>
      <c r="E3" s="2" t="s">
        <v>67</v>
      </c>
      <c r="F3" s="2" t="s">
        <v>19</v>
      </c>
      <c r="G3" s="2" t="s">
        <v>17</v>
      </c>
      <c r="H3" s="2" t="s">
        <v>19</v>
      </c>
      <c r="I3" s="2" t="s">
        <v>68</v>
      </c>
      <c r="J3" s="2" t="s">
        <v>17</v>
      </c>
      <c r="K3" s="4" t="str">
        <f aca="false">IF(AND(F3="Sim",G3="Nao",H3="Sim"),"Sim","Nao")</f>
        <v>Sim</v>
      </c>
      <c r="L3" s="4" t="str">
        <f aca="false">IF(I3&lt;&gt;"Ativo","Sim","Nao")</f>
        <v>Nao</v>
      </c>
      <c r="M3" s="4" t="str">
        <f aca="false">IF(I3&lt;&gt;"Ativo","Link "&amp;I3&amp;". Corrigir na planilha antes de publicar.","")</f>
        <v/>
      </c>
      <c r="N3" s="4" t="str">
        <f aca="false">"/player.html?anime="&amp;A3&amp;"&amp;ep="&amp;B3</f>
        <v>/player.html?anime=anime-demo-02&amp;ep=1</v>
      </c>
    </row>
    <row r="4" customFormat="false" ht="15" hidden="false" customHeight="false" outlineLevel="0" collapsed="false">
      <c r="A4" s="2" t="s">
        <v>30</v>
      </c>
      <c r="B4" s="2" t="n">
        <v>1</v>
      </c>
      <c r="C4" s="2" t="s">
        <v>70</v>
      </c>
      <c r="D4" s="2" t="s">
        <v>71</v>
      </c>
      <c r="E4" s="2" t="s">
        <v>72</v>
      </c>
      <c r="F4" s="2" t="s">
        <v>19</v>
      </c>
      <c r="G4" s="2" t="s">
        <v>17</v>
      </c>
      <c r="H4" s="2" t="s">
        <v>19</v>
      </c>
      <c r="I4" s="2" t="s">
        <v>68</v>
      </c>
      <c r="J4" s="2" t="s">
        <v>17</v>
      </c>
      <c r="K4" s="4" t="str">
        <f aca="false">IF(AND(F4="Sim",G4="Nao",H4="Sim"),"Sim","Nao")</f>
        <v>Sim</v>
      </c>
      <c r="L4" s="4" t="str">
        <f aca="false">IF(I4&lt;&gt;"Ativo","Sim","Nao")</f>
        <v>Nao</v>
      </c>
      <c r="M4" s="4" t="str">
        <f aca="false">IF(I4&lt;&gt;"Ativo","Link "&amp;I4&amp;". Corrigir na planilha antes de publicar.","")</f>
        <v/>
      </c>
      <c r="N4" s="4" t="str">
        <f aca="false">"/player.html?anime="&amp;A4&amp;"&amp;ep="&amp;B4</f>
        <v>/player.html?anime=anime-demo-03&amp;ep=1</v>
      </c>
    </row>
    <row r="5" customFormat="false" ht="15" hidden="false" customHeight="false" outlineLevel="0" collapsed="false">
      <c r="A5" s="2" t="s">
        <v>38</v>
      </c>
      <c r="B5" s="2" t="n">
        <v>1</v>
      </c>
      <c r="C5" s="2" t="s">
        <v>73</v>
      </c>
      <c r="D5" s="2" t="s">
        <v>74</v>
      </c>
      <c r="E5" s="2" t="s">
        <v>75</v>
      </c>
      <c r="F5" s="2" t="s">
        <v>19</v>
      </c>
      <c r="G5" s="2" t="s">
        <v>17</v>
      </c>
      <c r="H5" s="2" t="s">
        <v>19</v>
      </c>
      <c r="I5" s="2" t="s">
        <v>68</v>
      </c>
      <c r="J5" s="2" t="s">
        <v>17</v>
      </c>
      <c r="K5" s="4" t="str">
        <f aca="false">IF(AND(F5="Sim",G5="Nao",H5="Sim"),"Sim","Nao")</f>
        <v>Sim</v>
      </c>
      <c r="L5" s="4" t="str">
        <f aca="false">IF(I5&lt;&gt;"Ativo","Sim","Nao")</f>
        <v>Nao</v>
      </c>
      <c r="M5" s="4" t="str">
        <f aca="false">IF(I5&lt;&gt;"Ativo","Link "&amp;I5&amp;". Corrigir na planilha antes de publicar.","")</f>
        <v/>
      </c>
      <c r="N5" s="4" t="str">
        <f aca="false">"/player.html?anime="&amp;A5&amp;"&amp;ep="&amp;B5</f>
        <v>/player.html?anime=anime-demo-04&amp;ep=1</v>
      </c>
    </row>
    <row r="6" customFormat="false" ht="23.85" hidden="false" customHeight="false" outlineLevel="0" collapsed="false">
      <c r="A6" s="2" t="s">
        <v>47</v>
      </c>
      <c r="B6" s="2" t="n">
        <v>1</v>
      </c>
      <c r="C6" s="2" t="s">
        <v>76</v>
      </c>
      <c r="D6" s="2" t="s">
        <v>77</v>
      </c>
      <c r="E6" s="2" t="s">
        <v>78</v>
      </c>
      <c r="F6" s="2" t="s">
        <v>19</v>
      </c>
      <c r="G6" s="2" t="s">
        <v>17</v>
      </c>
      <c r="H6" s="2" t="s">
        <v>19</v>
      </c>
      <c r="I6" s="2" t="s">
        <v>79</v>
      </c>
      <c r="J6" s="2" t="s">
        <v>17</v>
      </c>
      <c r="K6" s="4" t="str">
        <f aca="false">IF(AND(F6="Sim",G6="Nao",H6="Sim"),"Sim","Nao")</f>
        <v>Sim</v>
      </c>
      <c r="L6" s="4" t="str">
        <f aca="false">IF(I6&lt;&gt;"Ativo","Sim","Nao")</f>
        <v>Sim</v>
      </c>
      <c r="M6" s="4" t="str">
        <f aca="false">IF(I6&lt;&gt;"Ativo","Link "&amp;I6&amp;". Corrigir na planilha antes de publicar.","")</f>
        <v>Link Revisar. Corrigir na planilha antes de publicar.</v>
      </c>
      <c r="N6" s="4" t="str">
        <f aca="false">"/player.html?anime="&amp;A6&amp;"&amp;ep="&amp;B6</f>
        <v>/player.html?anime=anime-demo-05&amp;ep=1</v>
      </c>
    </row>
  </sheetData>
  <dataValidations count="6">
    <dataValidation allowBlank="true" errorStyle="stop" operator="between" showDropDown="false" showErrorMessage="false" showInputMessage="false" sqref="E2:E55" type="list">
      <formula1>06_Validacoes!$C$2:$C$8</formula1>
      <formula2>0</formula2>
    </dataValidation>
    <dataValidation allowBlank="true" errorStyle="stop" operator="between" showDropDown="false" showErrorMessage="false" showInputMessage="false" sqref="F2:F55" type="list">
      <formula1>06_Validacoes!$A$2:$A$3</formula1>
      <formula2>0</formula2>
    </dataValidation>
    <dataValidation allowBlank="true" errorStyle="stop" operator="between" showDropDown="false" showErrorMessage="false" showInputMessage="false" sqref="G2:G55" type="list">
      <formula1>06_Validacoes!$A$2:$A$3</formula1>
      <formula2>0</formula2>
    </dataValidation>
    <dataValidation allowBlank="true" errorStyle="stop" operator="between" showDropDown="false" showErrorMessage="false" showInputMessage="false" sqref="H2:H55" type="list">
      <formula1>06_Validacoes!$A$2:$A$3</formula1>
      <formula2>0</formula2>
    </dataValidation>
    <dataValidation allowBlank="true" errorStyle="stop" operator="between" showDropDown="false" showErrorMessage="false" showInputMessage="false" sqref="J2:J55" type="list">
      <formula1>06_Validacoes!$A$2:$A$3</formula1>
      <formula2>0</formula2>
    </dataValidation>
    <dataValidation allowBlank="true" errorStyle="stop" operator="between" showDropDown="false" showErrorMessage="false" showInputMessage="false" sqref="I2:I55" type="list">
      <formula1>06_Validacoes!$D$2:$D$5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2</v>
      </c>
      <c r="D1" s="1" t="s">
        <v>82</v>
      </c>
      <c r="E1" s="1" t="s">
        <v>5</v>
      </c>
      <c r="F1" s="1" t="s">
        <v>83</v>
      </c>
      <c r="G1" s="1" t="s">
        <v>84</v>
      </c>
      <c r="H1" s="1" t="s">
        <v>85</v>
      </c>
    </row>
    <row r="2" customFormat="false" ht="15" hidden="false" customHeight="false" outlineLevel="0" collapsed="false">
      <c r="A2" s="2" t="s">
        <v>86</v>
      </c>
      <c r="B2" s="2" t="s">
        <v>34</v>
      </c>
      <c r="C2" s="2" t="s">
        <v>87</v>
      </c>
      <c r="D2" s="2" t="s">
        <v>88</v>
      </c>
      <c r="E2" s="2" t="s">
        <v>17</v>
      </c>
      <c r="F2" s="2" t="s">
        <v>19</v>
      </c>
      <c r="G2" s="2" t="s">
        <v>89</v>
      </c>
      <c r="H2" s="2"/>
    </row>
    <row r="3" customFormat="false" ht="15" hidden="false" customHeight="false" outlineLevel="0" collapsed="false">
      <c r="A3" s="2" t="s">
        <v>86</v>
      </c>
      <c r="B3" s="2" t="s">
        <v>15</v>
      </c>
      <c r="C3" s="2" t="s">
        <v>90</v>
      </c>
      <c r="D3" s="2" t="s">
        <v>91</v>
      </c>
      <c r="E3" s="2" t="s">
        <v>17</v>
      </c>
      <c r="F3" s="2" t="s">
        <v>19</v>
      </c>
      <c r="G3" s="2" t="s">
        <v>89</v>
      </c>
      <c r="H3" s="2"/>
    </row>
    <row r="4" customFormat="false" ht="15" hidden="false" customHeight="false" outlineLevel="0" collapsed="false">
      <c r="A4" s="2" t="s">
        <v>86</v>
      </c>
      <c r="B4" s="2" t="s">
        <v>26</v>
      </c>
      <c r="C4" s="2" t="s">
        <v>92</v>
      </c>
      <c r="D4" s="2" t="s">
        <v>93</v>
      </c>
      <c r="E4" s="2" t="s">
        <v>17</v>
      </c>
      <c r="F4" s="2" t="s">
        <v>19</v>
      </c>
      <c r="G4" s="2" t="s">
        <v>89</v>
      </c>
      <c r="H4" s="2"/>
    </row>
    <row r="5" customFormat="false" ht="15" hidden="false" customHeight="false" outlineLevel="0" collapsed="false">
      <c r="A5" s="2" t="s">
        <v>86</v>
      </c>
      <c r="B5" s="2" t="s">
        <v>50</v>
      </c>
      <c r="C5" s="2" t="s">
        <v>94</v>
      </c>
      <c r="D5" s="2" t="s">
        <v>95</v>
      </c>
      <c r="E5" s="2" t="s">
        <v>17</v>
      </c>
      <c r="F5" s="2" t="s">
        <v>19</v>
      </c>
      <c r="G5" s="2" t="s">
        <v>89</v>
      </c>
      <c r="H5" s="2"/>
    </row>
    <row r="6" customFormat="false" ht="15" hidden="false" customHeight="false" outlineLevel="0" collapsed="false">
      <c r="A6" s="2" t="s">
        <v>86</v>
      </c>
      <c r="B6" s="2" t="s">
        <v>41</v>
      </c>
      <c r="C6" s="2" t="s">
        <v>96</v>
      </c>
      <c r="D6" s="2" t="s">
        <v>97</v>
      </c>
      <c r="E6" s="2" t="s">
        <v>17</v>
      </c>
      <c r="F6" s="2" t="s">
        <v>19</v>
      </c>
      <c r="G6" s="2" t="s">
        <v>89</v>
      </c>
      <c r="H6" s="2"/>
    </row>
    <row r="7" customFormat="false" ht="15" hidden="false" customHeight="false" outlineLevel="0" collapsed="false">
      <c r="A7" s="2" t="s">
        <v>86</v>
      </c>
      <c r="B7" s="2" t="s">
        <v>33</v>
      </c>
      <c r="C7" s="2" t="s">
        <v>98</v>
      </c>
      <c r="D7" s="2" t="s">
        <v>99</v>
      </c>
      <c r="E7" s="2" t="s">
        <v>17</v>
      </c>
      <c r="F7" s="2" t="s">
        <v>19</v>
      </c>
      <c r="G7" s="2" t="s">
        <v>89</v>
      </c>
      <c r="H7" s="2"/>
    </row>
    <row r="8" customFormat="false" ht="15" hidden="false" customHeight="false" outlineLevel="0" collapsed="false">
      <c r="A8" s="2" t="s">
        <v>86</v>
      </c>
      <c r="B8" s="2" t="s">
        <v>100</v>
      </c>
      <c r="C8" s="2" t="s">
        <v>101</v>
      </c>
      <c r="D8" s="2" t="s">
        <v>102</v>
      </c>
      <c r="E8" s="2" t="s">
        <v>17</v>
      </c>
      <c r="F8" s="2" t="s">
        <v>19</v>
      </c>
      <c r="G8" s="2" t="s">
        <v>89</v>
      </c>
      <c r="H8" s="2"/>
    </row>
    <row r="9" customFormat="false" ht="15" hidden="false" customHeight="false" outlineLevel="0" collapsed="false">
      <c r="A9" s="2" t="s">
        <v>86</v>
      </c>
      <c r="B9" s="2" t="s">
        <v>42</v>
      </c>
      <c r="C9" s="2" t="s">
        <v>103</v>
      </c>
      <c r="D9" s="2" t="s">
        <v>104</v>
      </c>
      <c r="E9" s="2" t="s">
        <v>17</v>
      </c>
      <c r="F9" s="2" t="s">
        <v>19</v>
      </c>
      <c r="G9" s="2" t="s">
        <v>89</v>
      </c>
      <c r="H9" s="2"/>
    </row>
    <row r="10" customFormat="false" ht="15" hidden="false" customHeight="false" outlineLevel="0" collapsed="false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17</v>
      </c>
      <c r="F10" s="2" t="s">
        <v>19</v>
      </c>
      <c r="G10" s="2" t="s">
        <v>89</v>
      </c>
      <c r="H10" s="2"/>
    </row>
    <row r="11" customFormat="false" ht="15" hidden="false" customHeight="false" outlineLevel="0" collapsed="false">
      <c r="A11" s="2" t="s">
        <v>105</v>
      </c>
      <c r="B11" s="2" t="s">
        <v>109</v>
      </c>
      <c r="C11" s="2" t="s">
        <v>110</v>
      </c>
      <c r="D11" s="2" t="s">
        <v>111</v>
      </c>
      <c r="E11" s="2" t="s">
        <v>17</v>
      </c>
      <c r="F11" s="2" t="s">
        <v>19</v>
      </c>
      <c r="G11" s="2" t="s">
        <v>89</v>
      </c>
      <c r="H11" s="2"/>
    </row>
    <row r="12" customFormat="false" ht="15" hidden="false" customHeight="false" outlineLevel="0" collapsed="false">
      <c r="A12" s="2" t="s">
        <v>112</v>
      </c>
      <c r="B12" s="2" t="s">
        <v>113</v>
      </c>
      <c r="C12" s="2" t="s">
        <v>114</v>
      </c>
      <c r="D12" s="2" t="s">
        <v>115</v>
      </c>
      <c r="E12" s="2" t="s">
        <v>17</v>
      </c>
      <c r="F12" s="2" t="s">
        <v>19</v>
      </c>
      <c r="G12" s="2" t="s">
        <v>116</v>
      </c>
      <c r="H12" s="2"/>
    </row>
    <row r="13" customFormat="false" ht="15" hidden="false" customHeight="false" outlineLevel="0" collapsed="false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17</v>
      </c>
      <c r="F13" s="2" t="s">
        <v>19</v>
      </c>
      <c r="G13" s="2" t="s">
        <v>89</v>
      </c>
      <c r="H13" s="2"/>
    </row>
    <row r="14" customFormat="false" ht="15" hidden="false" customHeight="false" outlineLevel="0" collapsed="false">
      <c r="A14" s="2" t="s">
        <v>117</v>
      </c>
      <c r="B14" s="2" t="s">
        <v>121</v>
      </c>
      <c r="C14" s="2" t="s">
        <v>122</v>
      </c>
      <c r="D14" s="2" t="s">
        <v>123</v>
      </c>
      <c r="E14" s="2" t="s">
        <v>17</v>
      </c>
      <c r="F14" s="2" t="s">
        <v>19</v>
      </c>
      <c r="G14" s="2" t="s">
        <v>89</v>
      </c>
      <c r="H14" s="2"/>
    </row>
    <row r="15" customFormat="false" ht="15" hidden="false" customHeight="false" outlineLevel="0" collapsed="false">
      <c r="A15" s="2" t="s">
        <v>124</v>
      </c>
      <c r="B15" s="2" t="s">
        <v>22</v>
      </c>
      <c r="C15" s="2" t="s">
        <v>125</v>
      </c>
      <c r="D15" s="2" t="s">
        <v>126</v>
      </c>
      <c r="E15" s="2" t="s">
        <v>17</v>
      </c>
      <c r="F15" s="2" t="s">
        <v>19</v>
      </c>
      <c r="G15" s="2" t="s">
        <v>127</v>
      </c>
      <c r="H15" s="2"/>
    </row>
    <row r="16" customFormat="false" ht="15" hidden="false" customHeight="false" outlineLevel="0" collapsed="false">
      <c r="A16" s="2" t="s">
        <v>128</v>
      </c>
      <c r="B16" s="2" t="s">
        <v>128</v>
      </c>
      <c r="C16" s="2" t="s">
        <v>129</v>
      </c>
      <c r="D16" s="2" t="s">
        <v>130</v>
      </c>
      <c r="E16" s="2" t="s">
        <v>19</v>
      </c>
      <c r="F16" s="2" t="s">
        <v>17</v>
      </c>
      <c r="G16" s="2" t="s">
        <v>131</v>
      </c>
      <c r="H16" s="2" t="s">
        <v>132</v>
      </c>
    </row>
    <row r="17" customFormat="false" ht="15" hidden="false" customHeight="false" outlineLevel="0" collapsed="false">
      <c r="A17" s="2" t="s">
        <v>128</v>
      </c>
      <c r="B17" s="2" t="s">
        <v>133</v>
      </c>
      <c r="C17" s="2" t="s">
        <v>134</v>
      </c>
      <c r="D17" s="2" t="s">
        <v>135</v>
      </c>
      <c r="E17" s="2" t="s">
        <v>19</v>
      </c>
      <c r="F17" s="2" t="s">
        <v>17</v>
      </c>
      <c r="G17" s="2" t="s">
        <v>131</v>
      </c>
      <c r="H17" s="2" t="s">
        <v>132</v>
      </c>
    </row>
    <row r="18" customFormat="false" ht="15" hidden="false" customHeight="false" outlineLevel="0" collapsed="false">
      <c r="A18" s="2" t="s">
        <v>128</v>
      </c>
      <c r="B18" s="2" t="s">
        <v>136</v>
      </c>
      <c r="C18" s="2" t="s">
        <v>137</v>
      </c>
      <c r="D18" s="2" t="s">
        <v>138</v>
      </c>
      <c r="E18" s="2" t="s">
        <v>19</v>
      </c>
      <c r="F18" s="2" t="s">
        <v>17</v>
      </c>
      <c r="G18" s="2" t="s">
        <v>131</v>
      </c>
      <c r="H18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" t="s">
        <v>139</v>
      </c>
      <c r="B1" s="1" t="s">
        <v>140</v>
      </c>
      <c r="C1" s="1" t="s">
        <v>141</v>
      </c>
      <c r="D1" s="1" t="s">
        <v>58</v>
      </c>
      <c r="E1" s="1" t="s">
        <v>142</v>
      </c>
      <c r="F1" s="1" t="s">
        <v>85</v>
      </c>
    </row>
    <row r="2" customFormat="false" ht="15" hidden="false" customHeight="false" outlineLevel="0" collapsed="false">
      <c r="A2" s="2" t="s">
        <v>22</v>
      </c>
      <c r="B2" s="2" t="s">
        <v>143</v>
      </c>
      <c r="C2" s="2" t="s">
        <v>19</v>
      </c>
      <c r="D2" s="2" t="s">
        <v>19</v>
      </c>
      <c r="E2" s="2" t="s">
        <v>19</v>
      </c>
      <c r="F2" s="2" t="s">
        <v>144</v>
      </c>
    </row>
    <row r="3" customFormat="false" ht="15" hidden="false" customHeight="false" outlineLevel="0" collapsed="false">
      <c r="A3" s="2" t="s">
        <v>46</v>
      </c>
      <c r="B3" s="2" t="s">
        <v>145</v>
      </c>
      <c r="C3" s="2" t="s">
        <v>146</v>
      </c>
      <c r="D3" s="2" t="s">
        <v>19</v>
      </c>
      <c r="E3" s="2" t="s">
        <v>146</v>
      </c>
      <c r="F3" s="2" t="s">
        <v>147</v>
      </c>
    </row>
    <row r="4" customFormat="false" ht="15" hidden="false" customHeight="false" outlineLevel="0" collapsed="false">
      <c r="A4" s="2" t="s">
        <v>148</v>
      </c>
      <c r="B4" s="2" t="s">
        <v>145</v>
      </c>
      <c r="C4" s="2" t="s">
        <v>146</v>
      </c>
      <c r="D4" s="2" t="s">
        <v>19</v>
      </c>
      <c r="E4" s="2" t="s">
        <v>146</v>
      </c>
      <c r="F4" s="2" t="s">
        <v>149</v>
      </c>
    </row>
    <row r="5" customFormat="false" ht="15" hidden="false" customHeight="false" outlineLevel="0" collapsed="false">
      <c r="A5" s="2" t="s">
        <v>150</v>
      </c>
      <c r="B5" s="2" t="s">
        <v>143</v>
      </c>
      <c r="C5" s="2" t="s">
        <v>19</v>
      </c>
      <c r="D5" s="2" t="s">
        <v>19</v>
      </c>
      <c r="E5" s="2" t="s">
        <v>19</v>
      </c>
      <c r="F5" s="2" t="s">
        <v>151</v>
      </c>
    </row>
    <row r="6" customFormat="false" ht="15" hidden="false" customHeight="false" outlineLevel="0" collapsed="false">
      <c r="A6" s="2" t="s">
        <v>37</v>
      </c>
      <c r="B6" s="2" t="s">
        <v>78</v>
      </c>
      <c r="C6" s="2" t="s">
        <v>146</v>
      </c>
      <c r="D6" s="2" t="s">
        <v>19</v>
      </c>
      <c r="E6" s="2" t="s">
        <v>146</v>
      </c>
      <c r="F6" s="2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5" t="s">
        <v>153</v>
      </c>
    </row>
    <row r="3" customFormat="false" ht="15" hidden="false" customHeight="false" outlineLevel="0" collapsed="false">
      <c r="A3" s="6" t="s">
        <v>154</v>
      </c>
      <c r="B3" s="7" t="s">
        <v>155</v>
      </c>
    </row>
    <row r="4" customFormat="false" ht="15" hidden="false" customHeight="false" outlineLevel="0" collapsed="false">
      <c r="A4" s="6" t="s">
        <v>156</v>
      </c>
      <c r="B4" s="7" t="s">
        <v>157</v>
      </c>
    </row>
    <row r="5" customFormat="false" ht="15" hidden="false" customHeight="false" outlineLevel="0" collapsed="false">
      <c r="A5" s="6" t="s">
        <v>158</v>
      </c>
      <c r="B5" s="7" t="s">
        <v>159</v>
      </c>
    </row>
    <row r="6" customFormat="false" ht="15" hidden="false" customHeight="false" outlineLevel="0" collapsed="false">
      <c r="A6" s="6" t="s">
        <v>160</v>
      </c>
      <c r="B6" s="7" t="s">
        <v>161</v>
      </c>
    </row>
    <row r="7" customFormat="false" ht="15" hidden="false" customHeight="false" outlineLevel="0" collapsed="false">
      <c r="A7" s="6" t="s">
        <v>162</v>
      </c>
      <c r="B7" s="7" t="s">
        <v>163</v>
      </c>
    </row>
    <row r="8" customFormat="false" ht="15" hidden="false" customHeight="false" outlineLevel="0" collapsed="false">
      <c r="A8" s="6" t="s">
        <v>164</v>
      </c>
      <c r="B8" s="7" t="s">
        <v>165</v>
      </c>
    </row>
    <row r="9" customFormat="false" ht="15" hidden="false" customHeight="false" outlineLevel="0" collapsed="false">
      <c r="A9" s="6" t="s">
        <v>166</v>
      </c>
      <c r="B9" s="7" t="s">
        <v>167</v>
      </c>
    </row>
    <row r="10" customFormat="false" ht="15" hidden="false" customHeight="false" outlineLevel="0" collapsed="false">
      <c r="A10" s="6" t="s">
        <v>168</v>
      </c>
      <c r="B10" s="7" t="s">
        <v>169</v>
      </c>
    </row>
    <row r="11" customFormat="false" ht="15" hidden="false" customHeight="false" outlineLevel="0" collapsed="false">
      <c r="A11" s="6" t="s">
        <v>170</v>
      </c>
      <c r="B11" s="7" t="s">
        <v>171</v>
      </c>
    </row>
    <row r="12" customFormat="false" ht="15" hidden="false" customHeight="false" outlineLevel="0" collapsed="false">
      <c r="A12" s="6" t="s">
        <v>172</v>
      </c>
      <c r="B12" s="7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8" t="s">
        <v>174</v>
      </c>
      <c r="B1" s="8" t="s">
        <v>175</v>
      </c>
      <c r="C1" s="8" t="s">
        <v>57</v>
      </c>
      <c r="D1" s="8" t="s">
        <v>60</v>
      </c>
      <c r="E1" s="8" t="s">
        <v>140</v>
      </c>
      <c r="F1" s="8" t="s">
        <v>141</v>
      </c>
      <c r="G1" s="8" t="s">
        <v>84</v>
      </c>
    </row>
    <row r="2" customFormat="false" ht="15" hidden="false" customHeight="false" outlineLevel="0" collapsed="false">
      <c r="A2" s="7" t="s">
        <v>19</v>
      </c>
      <c r="B2" s="7" t="s">
        <v>18</v>
      </c>
      <c r="C2" s="7" t="s">
        <v>67</v>
      </c>
      <c r="D2" s="7" t="s">
        <v>68</v>
      </c>
      <c r="E2" s="7" t="s">
        <v>145</v>
      </c>
      <c r="F2" s="7" t="s">
        <v>19</v>
      </c>
      <c r="G2" s="7" t="s">
        <v>89</v>
      </c>
    </row>
    <row r="3" customFormat="false" ht="15" hidden="false" customHeight="false" outlineLevel="0" collapsed="false">
      <c r="A3" s="7" t="s">
        <v>17</v>
      </c>
      <c r="B3" s="7" t="s">
        <v>43</v>
      </c>
      <c r="C3" s="7" t="s">
        <v>176</v>
      </c>
      <c r="D3" s="7" t="s">
        <v>177</v>
      </c>
      <c r="E3" s="7" t="s">
        <v>143</v>
      </c>
      <c r="F3" s="7" t="s">
        <v>17</v>
      </c>
      <c r="G3" s="7" t="s">
        <v>131</v>
      </c>
    </row>
    <row r="4" customFormat="false" ht="15" hidden="false" customHeight="false" outlineLevel="0" collapsed="false">
      <c r="B4" s="7" t="s">
        <v>178</v>
      </c>
      <c r="C4" s="7" t="s">
        <v>72</v>
      </c>
      <c r="D4" s="7" t="s">
        <v>179</v>
      </c>
      <c r="E4" s="7" t="s">
        <v>78</v>
      </c>
      <c r="F4" s="7" t="s">
        <v>146</v>
      </c>
      <c r="G4" s="7" t="s">
        <v>116</v>
      </c>
    </row>
    <row r="5" customFormat="false" ht="15" hidden="false" customHeight="false" outlineLevel="0" collapsed="false">
      <c r="B5" s="7" t="s">
        <v>180</v>
      </c>
      <c r="C5" s="7" t="s">
        <v>75</v>
      </c>
      <c r="D5" s="7" t="s">
        <v>79</v>
      </c>
      <c r="E5" s="7" t="s">
        <v>181</v>
      </c>
      <c r="G5" s="7" t="s">
        <v>127</v>
      </c>
    </row>
    <row r="6" customFormat="false" ht="15" hidden="false" customHeight="false" outlineLevel="0" collapsed="false">
      <c r="B6" s="7" t="s">
        <v>51</v>
      </c>
      <c r="C6" s="7" t="s">
        <v>182</v>
      </c>
    </row>
    <row r="7" customFormat="false" ht="15" hidden="false" customHeight="false" outlineLevel="0" collapsed="false">
      <c r="C7" s="7" t="s">
        <v>183</v>
      </c>
    </row>
    <row r="8" customFormat="false" ht="15" hidden="false" customHeight="false" outlineLevel="0" collapsed="false">
      <c r="C8" s="7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5" t="s">
        <v>184</v>
      </c>
    </row>
    <row r="2" customFormat="false" ht="15" hidden="false" customHeight="false" outlineLevel="0" collapsed="false">
      <c r="A2" s="9" t="s">
        <v>185</v>
      </c>
    </row>
    <row r="4" customFormat="false" ht="15" hidden="false" customHeight="false" outlineLevel="0" collapsed="false">
      <c r="A4" s="10" t="s">
        <v>186</v>
      </c>
      <c r="B4" s="10" t="s">
        <v>187</v>
      </c>
    </row>
    <row r="5" customFormat="false" ht="15" hidden="false" customHeight="false" outlineLevel="0" collapsed="false">
      <c r="A5" s="11" t="s">
        <v>188</v>
      </c>
      <c r="B5" s="12" t="n">
        <f aca="false">COUNTA(01_Animes!A2:A1000)</f>
        <v>5</v>
      </c>
    </row>
    <row r="6" customFormat="false" ht="15" hidden="false" customHeight="false" outlineLevel="0" collapsed="false">
      <c r="A6" s="11" t="s">
        <v>189</v>
      </c>
      <c r="B6" s="12" t="n">
        <f aca="false">COUNTIF(01_Animes!H2:H1000,"Sim")</f>
        <v>5</v>
      </c>
    </row>
    <row r="7" customFormat="false" ht="15" hidden="false" customHeight="false" outlineLevel="0" collapsed="false">
      <c r="A7" s="11" t="s">
        <v>190</v>
      </c>
      <c r="B7" s="12" t="n">
        <f aca="false">COUNTIF(01_Animes!H2:H1000,"Nao")</f>
        <v>0</v>
      </c>
    </row>
    <row r="8" customFormat="false" ht="15" hidden="false" customHeight="false" outlineLevel="0" collapsed="false">
      <c r="A8" s="11" t="s">
        <v>191</v>
      </c>
      <c r="B8" s="12" t="n">
        <f aca="false">COUNTIF(01_Animes!F2:F1000,"Sim")</f>
        <v>0</v>
      </c>
    </row>
    <row r="9" customFormat="false" ht="15" hidden="false" customHeight="false" outlineLevel="0" collapsed="false">
      <c r="A9" s="11" t="s">
        <v>192</v>
      </c>
      <c r="B9" s="12" t="n">
        <f aca="false">COUNTA(02_Episodios!A2:A1000)</f>
        <v>5</v>
      </c>
    </row>
    <row r="10" customFormat="false" ht="15" hidden="false" customHeight="false" outlineLevel="0" collapsed="false">
      <c r="A10" s="11" t="s">
        <v>193</v>
      </c>
      <c r="B10" s="12" t="n">
        <f aca="false">COUNTIF(02_Episodios!K2:K1000,"Sim")</f>
        <v>5</v>
      </c>
    </row>
    <row r="11" customFormat="false" ht="15" hidden="false" customHeight="false" outlineLevel="0" collapsed="false">
      <c r="A11" s="11" t="s">
        <v>194</v>
      </c>
      <c r="B11" s="12" t="n">
        <f aca="false">COUNTIF(02_Episodios!K2:K1000,"Nao")</f>
        <v>0</v>
      </c>
    </row>
    <row r="12" customFormat="false" ht="15" hidden="false" customHeight="false" outlineLevel="0" collapsed="false">
      <c r="A12" s="11" t="s">
        <v>195</v>
      </c>
      <c r="B12" s="12" t="n">
        <f aca="false">COUNTIF(02_Episodios!L2:L1000,"Sim")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</cols>
  <sheetData>
    <row r="1" customFormat="false" ht="19.7" hidden="false" customHeight="false" outlineLevel="0" collapsed="false">
      <c r="A1" s="5" t="s">
        <v>196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197</v>
      </c>
    </row>
    <row r="4" customFormat="false" ht="15" hidden="false" customHeight="false" outlineLevel="0" collapsed="false">
      <c r="A4" s="7" t="s">
        <v>198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13" t="s">
        <v>199</v>
      </c>
    </row>
    <row r="7" customFormat="false" ht="15" hidden="false" customHeight="false" outlineLevel="0" collapsed="false">
      <c r="A7" s="7" t="s">
        <v>200</v>
      </c>
    </row>
    <row r="8" customFormat="false" ht="15" hidden="false" customHeight="false" outlineLevel="0" collapsed="false">
      <c r="A8" s="7" t="s">
        <v>201</v>
      </c>
    </row>
    <row r="9" customFormat="false" ht="15" hidden="false" customHeight="false" outlineLevel="0" collapsed="false">
      <c r="A9" s="7" t="s">
        <v>202</v>
      </c>
    </row>
    <row r="10" customFormat="false" ht="15" hidden="false" customHeight="false" outlineLevel="0" collapsed="false">
      <c r="A10" s="7" t="s">
        <v>203</v>
      </c>
    </row>
    <row r="11" customFormat="false" ht="15" hidden="false" customHeight="false" outlineLevel="0" collapsed="false">
      <c r="A11" s="7" t="s">
        <v>204</v>
      </c>
    </row>
    <row r="12" customFormat="false" ht="15" hidden="false" customHeight="false" outlineLevel="0" collapsed="false">
      <c r="A12" s="7" t="s">
        <v>205</v>
      </c>
    </row>
    <row r="13" customFormat="false" ht="15" hidden="false" customHeight="false" outlineLevel="0" collapsed="false">
      <c r="A13" s="7" t="s">
        <v>206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13" t="s">
        <v>207</v>
      </c>
    </row>
    <row r="16" customFormat="false" ht="15" hidden="false" customHeight="false" outlineLevel="0" collapsed="false">
      <c r="A16" s="7" t="s">
        <v>208</v>
      </c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 t="s">
        <v>209</v>
      </c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13" t="s">
        <v>210</v>
      </c>
    </row>
    <row r="21" customFormat="false" ht="15" hidden="false" customHeight="false" outlineLevel="0" collapsed="false">
      <c r="A21" s="7" t="s">
        <v>211</v>
      </c>
    </row>
    <row r="22" customFormat="false" ht="15" hidden="false" customHeight="false" outlineLevel="0" collapsed="false">
      <c r="A22" s="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2026-05-30T20:24:03Z</dcterms:created>
  <dc:creator>openpyxl</dc:creator>
  <dc:description/>
  <dc:language>en-US</dc:language>
  <cp:lastModifiedBy/>
  <dcterms:modified xsi:type="dcterms:W3CDTF">2026-05-30T20:24:03Z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